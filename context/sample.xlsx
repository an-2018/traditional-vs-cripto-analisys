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ls\Desktop\anilson\learn\portoalegre-pos-graduacao\mercados-financeiros-gestao-carteiras\materiais\"/>
    </mc:Choice>
  </mc:AlternateContent>
  <xr:revisionPtr revIDLastSave="0" documentId="13_ncr:1_{E2AF83D1-691E-4ADA-A65D-6B5683D266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3" i="1"/>
  <c r="Q4" i="1"/>
  <c r="Q5" i="1"/>
  <c r="Q6" i="1"/>
  <c r="Q7" i="1"/>
  <c r="Q8" i="1"/>
  <c r="Q9" i="1"/>
  <c r="Q10" i="1"/>
  <c r="Q11" i="1"/>
  <c r="Q12" i="1"/>
  <c r="Q13" i="1"/>
  <c r="Q3" i="1"/>
  <c r="P5" i="1"/>
  <c r="P6" i="1" s="1"/>
  <c r="P7" i="1" s="1"/>
  <c r="P8" i="1" s="1"/>
  <c r="P9" i="1" s="1"/>
  <c r="P10" i="1" s="1"/>
  <c r="P11" i="1" s="1"/>
  <c r="P12" i="1" s="1"/>
  <c r="P13" i="1" s="1"/>
  <c r="P4" i="1"/>
  <c r="O13" i="1"/>
  <c r="O5" i="1"/>
  <c r="O6" i="1" s="1"/>
  <c r="O7" i="1" s="1"/>
  <c r="O8" i="1" s="1"/>
  <c r="O9" i="1" s="1"/>
  <c r="O10" i="1" s="1"/>
  <c r="O11" i="1" s="1"/>
  <c r="O12" i="1" s="1"/>
  <c r="O4" i="1"/>
  <c r="J15" i="1"/>
  <c r="J14" i="1"/>
  <c r="G18" i="1"/>
  <c r="J13" i="1"/>
  <c r="J19" i="1"/>
  <c r="J18" i="1"/>
  <c r="J17" i="1"/>
  <c r="L8" i="1"/>
  <c r="L5" i="1"/>
  <c r="L6" i="1"/>
  <c r="L3" i="1"/>
  <c r="G17" i="1"/>
  <c r="F17" i="1"/>
  <c r="E17" i="1"/>
  <c r="E19" i="1"/>
  <c r="F18" i="1"/>
  <c r="E18" i="1"/>
  <c r="K6" i="1"/>
  <c r="K8" i="1" s="1"/>
  <c r="J6" i="1"/>
  <c r="J5" i="1"/>
  <c r="K5" i="1"/>
  <c r="K3" i="1"/>
  <c r="J3" i="1"/>
  <c r="M3" i="1" l="1"/>
  <c r="L4" i="1" s="1"/>
  <c r="J8" i="1"/>
  <c r="J4" i="1" l="1"/>
  <c r="K4" i="1"/>
  <c r="J11" i="1" s="1"/>
</calcChain>
</file>

<file path=xl/sharedStrings.xml><?xml version="1.0" encoding="utf-8"?>
<sst xmlns="http://schemas.openxmlformats.org/spreadsheetml/2006/main" count="30" uniqueCount="29">
  <si>
    <t>Ação A</t>
  </si>
  <si>
    <t>Ação B</t>
  </si>
  <si>
    <t>Ação C</t>
  </si>
  <si>
    <t>compra</t>
  </si>
  <si>
    <t>peso</t>
  </si>
  <si>
    <t>dividendo</t>
  </si>
  <si>
    <t>venda</t>
  </si>
  <si>
    <t>A</t>
  </si>
  <si>
    <t>B</t>
  </si>
  <si>
    <t>rendibilidade</t>
  </si>
  <si>
    <t>Total</t>
  </si>
  <si>
    <t>Carteira com as accoes A e B</t>
  </si>
  <si>
    <t>Rendibilidae</t>
  </si>
  <si>
    <t>DP</t>
  </si>
  <si>
    <t>Media</t>
  </si>
  <si>
    <t>Cov(A,B)</t>
  </si>
  <si>
    <t>Corr(A,B)</t>
  </si>
  <si>
    <t>por efeito da diversificacao, ao escolher as duas tem um risco de 2.42, menor q 2.43 e 2.62, soh n reduz tanto pq a corelacao eh elevado entre os 2</t>
  </si>
  <si>
    <t>C</t>
  </si>
  <si>
    <t>Corr(A,C)</t>
  </si>
  <si>
    <t>Corr(B,C)</t>
  </si>
  <si>
    <t>Risco carteira com acoes A B e C</t>
  </si>
  <si>
    <t>Cov(A,C)</t>
  </si>
  <si>
    <t>Cov(B,C)</t>
  </si>
  <si>
    <t>Risco da carteira com accoes A e B</t>
  </si>
  <si>
    <t>Peso Accao A</t>
  </si>
  <si>
    <t>Peso Accao B</t>
  </si>
  <si>
    <t>Rend</t>
  </si>
  <si>
    <t>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</si>
</sst>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9" formatCode="_-* #,##0\ [$€-816]_-;\-* #,##0\ [$€-816]_-;_-* &quot;-&quot;??\ [$€-816]_-;_-@_-"/>
    <numFmt numFmtId="174" formatCode="0.000"/>
    <numFmt numFmtId="176" formatCode="0.0%"/>
  </numFmts>
  <fonts count="7" x14ac:knownFonts="1">
    <font>
      <sz val="12"/>
      <name val="Times New Roman"/>
    </font>
    <font>
      <sz val="12"/>
      <name val="Times New Roman"/>
    </font>
    <font>
      <b/>
      <sz val="12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164" fontId="0" fillId="0" borderId="0" xfId="1" applyFont="1" applyBorder="1"/>
    <xf numFmtId="164" fontId="0" fillId="0" borderId="5" xfId="1" applyFont="1" applyBorder="1"/>
    <xf numFmtId="0" fontId="2" fillId="0" borderId="6" xfId="0" applyFont="1" applyBorder="1"/>
    <xf numFmtId="164" fontId="0" fillId="0" borderId="7" xfId="1" applyFont="1" applyBorder="1"/>
    <xf numFmtId="164" fontId="0" fillId="0" borderId="8" xfId="1" applyFont="1" applyBorder="1"/>
    <xf numFmtId="0" fontId="0" fillId="2" borderId="0" xfId="0" applyFill="1"/>
    <xf numFmtId="0" fontId="2" fillId="2" borderId="0" xfId="0" applyFont="1" applyFill="1"/>
    <xf numFmtId="0" fontId="4" fillId="0" borderId="0" xfId="0" applyFont="1"/>
    <xf numFmtId="9" fontId="0" fillId="2" borderId="0" xfId="2" applyFont="1" applyFill="1"/>
    <xf numFmtId="169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176" fontId="0" fillId="2" borderId="0" xfId="2" applyNumberFormat="1" applyFont="1" applyFill="1" applyAlignment="1">
      <alignment horizontal="right"/>
    </xf>
    <xf numFmtId="0" fontId="0" fillId="2" borderId="7" xfId="0" applyFill="1" applyBorder="1"/>
    <xf numFmtId="0" fontId="2" fillId="2" borderId="7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9" fontId="0" fillId="0" borderId="0" xfId="0" applyNumberFormat="1" applyAlignment="1">
      <alignment horizontal="right"/>
    </xf>
    <xf numFmtId="176" fontId="0" fillId="0" borderId="0" xfId="0" applyNumberFormat="1"/>
    <xf numFmtId="0" fontId="2" fillId="2" borderId="0" xfId="0" applyFont="1" applyFill="1" applyAlignment="1">
      <alignment horizontal="left"/>
    </xf>
    <xf numFmtId="164" fontId="0" fillId="0" borderId="0" xfId="0" applyNumberFormat="1"/>
    <xf numFmtId="0" fontId="4" fillId="0" borderId="0" xfId="0" applyFont="1" applyFill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74" fontId="0" fillId="0" borderId="0" xfId="0" applyNumberFormat="1"/>
    <xf numFmtId="2" fontId="0" fillId="0" borderId="0" xfId="0" applyNumberFormat="1"/>
    <xf numFmtId="0" fontId="2" fillId="2" borderId="0" xfId="0" applyFont="1" applyFill="1" applyBorder="1" applyAlignment="1"/>
    <xf numFmtId="174" fontId="5" fillId="0" borderId="0" xfId="0" applyNumberFormat="1" applyFont="1"/>
    <xf numFmtId="2" fontId="5" fillId="0" borderId="0" xfId="0" applyNumberFormat="1" applyFont="1"/>
    <xf numFmtId="0" fontId="6" fillId="0" borderId="0" xfId="0" applyFont="1"/>
  </cellXfs>
  <cellStyles count="3">
    <cellStyle name="Euro" xfId="1" xr:uid="{00000000-0005-0000-0000-000000000000}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Folha1!#REF!</c:f>
            </c:numRef>
          </c:xVal>
          <c:yVal>
            <c:numRef>
              <c:f>Folha1!#REF!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Folha1!#REF!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14A-46D2-9081-EBC4D5740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14560"/>
        <c:axId val="34689024"/>
      </c:scatterChart>
      <c:valAx>
        <c:axId val="185714560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34689024"/>
        <c:crosses val="autoZero"/>
        <c:crossBetween val="midCat"/>
      </c:valAx>
      <c:valAx>
        <c:axId val="34689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857145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835051546391751"/>
          <c:y val="0.52068965517241383"/>
          <c:w val="0.10515463917525769"/>
          <c:h val="8.2758620689655227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Folha1!$R$3:$R$13</c:f>
              <c:numCache>
                <c:formatCode>0.000</c:formatCode>
                <c:ptCount val="11"/>
                <c:pt idx="0">
                  <c:v>2.6247077759420945</c:v>
                </c:pt>
                <c:pt idx="1">
                  <c:v>2.5784084531964946</c:v>
                </c:pt>
                <c:pt idx="2">
                  <c:v>2.53765042844157</c:v>
                </c:pt>
                <c:pt idx="3">
                  <c:v>2.502704446284965</c:v>
                </c:pt>
                <c:pt idx="4">
                  <c:v>2.4738168276915093</c:v>
                </c:pt>
                <c:pt idx="5">
                  <c:v>2.4512017769892256</c:v>
                </c:pt>
                <c:pt idx="6">
                  <c:v>2.4350340673368196</c:v>
                </c:pt>
                <c:pt idx="7">
                  <c:v>2.425442633767485</c:v>
                </c:pt>
                <c:pt idx="8">
                  <c:v>2.4225055899488277</c:v>
                </c:pt>
                <c:pt idx="9">
                  <c:v>2.4262471020075393</c:v>
                </c:pt>
                <c:pt idx="10">
                  <c:v>2.4366364049026581</c:v>
                </c:pt>
              </c:numCache>
            </c:numRef>
          </c:xVal>
          <c:yVal>
            <c:numRef>
              <c:f>Folha1!$Q$2:$Q$13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0.85416666666666663</c:v>
                </c:pt>
                <c:pt idx="2">
                  <c:v>0.79173850574712634</c:v>
                </c:pt>
                <c:pt idx="3">
                  <c:v>0.72931034482758617</c:v>
                </c:pt>
                <c:pt idx="4">
                  <c:v>0.66688218390804599</c:v>
                </c:pt>
                <c:pt idx="5">
                  <c:v>0.60445402298850581</c:v>
                </c:pt>
                <c:pt idx="6">
                  <c:v>0.54202586206896564</c:v>
                </c:pt>
                <c:pt idx="7">
                  <c:v>0.4795977011494254</c:v>
                </c:pt>
                <c:pt idx="8">
                  <c:v>0.41716954022988517</c:v>
                </c:pt>
                <c:pt idx="9">
                  <c:v>0.35474137931034488</c:v>
                </c:pt>
                <c:pt idx="10">
                  <c:v>0.29231321839080471</c:v>
                </c:pt>
                <c:pt idx="11">
                  <c:v>0.22988505747126445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2-4CC3-8705-05CA0F1D1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406895"/>
        <c:axId val="529397295"/>
      </c:scatterChart>
      <c:valAx>
        <c:axId val="52940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97295"/>
        <c:crosses val="autoZero"/>
        <c:crossBetween val="midCat"/>
      </c:valAx>
      <c:valAx>
        <c:axId val="52939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40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15</xdr:row>
      <xdr:rowOff>0</xdr:rowOff>
    </xdr:from>
    <xdr:to>
      <xdr:col>7</xdr:col>
      <xdr:colOff>0</xdr:colOff>
      <xdr:row>15</xdr:row>
      <xdr:rowOff>0</xdr:rowOff>
    </xdr:to>
    <xdr:graphicFrame macro="">
      <xdr:nvGraphicFramePr>
        <xdr:cNvPr id="1036" name="Gráfico 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217713</xdr:colOff>
      <xdr:row>14</xdr:row>
      <xdr:rowOff>152399</xdr:rowOff>
    </xdr:from>
    <xdr:to>
      <xdr:col>18</xdr:col>
      <xdr:colOff>27213</xdr:colOff>
      <xdr:row>28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EE05A8-A6FD-88C2-E967-1C603E57C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V25"/>
  <sheetViews>
    <sheetView tabSelected="1" topLeftCell="C1" zoomScale="70" zoomScaleNormal="70" workbookViewId="0">
      <selection activeCell="V16" sqref="V16"/>
    </sheetView>
  </sheetViews>
  <sheetFormatPr defaultRowHeight="15.75" x14ac:dyDescent="0.25"/>
  <cols>
    <col min="5" max="5" width="11.75" bestFit="1" customWidth="1"/>
    <col min="6" max="6" width="10.25" bestFit="1" customWidth="1"/>
    <col min="7" max="7" width="11.375" bestFit="1" customWidth="1"/>
    <col min="9" max="9" width="12.375" customWidth="1"/>
    <col min="10" max="10" width="22.375" bestFit="1" customWidth="1"/>
    <col min="11" max="11" width="9.375" bestFit="1" customWidth="1"/>
    <col min="15" max="15" width="9" customWidth="1"/>
  </cols>
  <sheetData>
    <row r="2" spans="4:22" x14ac:dyDescent="0.25">
      <c r="I2" s="17"/>
      <c r="J2" s="18" t="s">
        <v>7</v>
      </c>
      <c r="K2" s="18" t="s">
        <v>8</v>
      </c>
      <c r="L2" s="18" t="s">
        <v>18</v>
      </c>
      <c r="M2" s="19" t="s">
        <v>10</v>
      </c>
      <c r="O2" s="29" t="s">
        <v>25</v>
      </c>
      <c r="P2" s="29" t="s">
        <v>26</v>
      </c>
      <c r="Q2" s="29" t="s">
        <v>27</v>
      </c>
      <c r="R2" s="29" t="s">
        <v>28</v>
      </c>
    </row>
    <row r="3" spans="4:22" x14ac:dyDescent="0.25">
      <c r="D3" s="1"/>
      <c r="E3" s="2" t="s">
        <v>0</v>
      </c>
      <c r="F3" s="2" t="s">
        <v>1</v>
      </c>
      <c r="G3" s="3" t="s">
        <v>2</v>
      </c>
      <c r="I3" s="11" t="s">
        <v>3</v>
      </c>
      <c r="J3" s="14">
        <f>150*E4</f>
        <v>1305</v>
      </c>
      <c r="K3" s="14">
        <f>90*F4</f>
        <v>432</v>
      </c>
      <c r="L3" s="10">
        <f>+G4*75</f>
        <v>1200</v>
      </c>
      <c r="M3" s="20">
        <f>+J3+K3+L3</f>
        <v>2937</v>
      </c>
      <c r="O3">
        <v>0</v>
      </c>
      <c r="P3">
        <v>1</v>
      </c>
      <c r="Q3" s="28">
        <f>+O3*$J$8+$K$8*P3</f>
        <v>0.85416666666666663</v>
      </c>
      <c r="R3" s="27">
        <f>(O3^2*$E$18^2+P3^2*$F$18^2+2*O3*P3*$E$19*$E$18*$F$18)^0.5</f>
        <v>2.6247077759420945</v>
      </c>
    </row>
    <row r="4" spans="4:22" x14ac:dyDescent="0.25">
      <c r="D4" s="4">
        <v>6</v>
      </c>
      <c r="E4" s="5">
        <v>8.6999999999999993</v>
      </c>
      <c r="F4" s="5">
        <v>4.8</v>
      </c>
      <c r="G4" s="6">
        <v>16</v>
      </c>
      <c r="I4" s="11" t="s">
        <v>4</v>
      </c>
      <c r="J4" s="16">
        <f>+(J3/(M3))</f>
        <v>0.44433094994892747</v>
      </c>
      <c r="K4" s="16">
        <f>+K3/M3</f>
        <v>0.14708886618998979</v>
      </c>
      <c r="L4" s="13">
        <f>+L3/M3</f>
        <v>0.40858018386108275</v>
      </c>
      <c r="O4">
        <f>+O3+0.1</f>
        <v>0.1</v>
      </c>
      <c r="P4">
        <f>+P3-0.1</f>
        <v>0.9</v>
      </c>
      <c r="Q4" s="28">
        <f t="shared" ref="Q4:Q13" si="0">+O4*$J$8+$K$8*P4</f>
        <v>0.79173850574712634</v>
      </c>
      <c r="R4" s="27">
        <f t="shared" ref="R4:R13" si="1">(O4^2*$E$18^2+P4^2*$F$18^2+2*O4*P4*$E$19*$E$18*$F$18)^0.5</f>
        <v>2.5784084531964946</v>
      </c>
    </row>
    <row r="5" spans="4:22" x14ac:dyDescent="0.25">
      <c r="D5" s="4">
        <v>7</v>
      </c>
      <c r="E5" s="5">
        <v>5.3</v>
      </c>
      <c r="F5" s="5">
        <v>3.5</v>
      </c>
      <c r="G5" s="6">
        <v>19</v>
      </c>
      <c r="I5" s="11" t="s">
        <v>5</v>
      </c>
      <c r="J5" s="15">
        <f>150*0.5</f>
        <v>75</v>
      </c>
      <c r="K5" s="15">
        <f>90*0.4</f>
        <v>36</v>
      </c>
      <c r="L5" s="10">
        <f>75*0.2</f>
        <v>15</v>
      </c>
      <c r="O5">
        <f t="shared" ref="O5:O12" si="2">+O4+0.1</f>
        <v>0.2</v>
      </c>
      <c r="P5">
        <f t="shared" ref="P5:P13" si="3">+P4-0.1</f>
        <v>0.8</v>
      </c>
      <c r="Q5" s="28">
        <f t="shared" si="0"/>
        <v>0.72931034482758617</v>
      </c>
      <c r="R5" s="27">
        <f t="shared" si="1"/>
        <v>2.53765042844157</v>
      </c>
    </row>
    <row r="6" spans="4:22" x14ac:dyDescent="0.25">
      <c r="D6" s="4">
        <v>8</v>
      </c>
      <c r="E6" s="5">
        <v>7.2</v>
      </c>
      <c r="F6" s="5">
        <v>1.6</v>
      </c>
      <c r="G6" s="6">
        <v>18.5</v>
      </c>
      <c r="I6" s="11" t="s">
        <v>6</v>
      </c>
      <c r="J6" s="14">
        <f>150*E15</f>
        <v>1530</v>
      </c>
      <c r="K6" s="14">
        <f>90*F15</f>
        <v>765</v>
      </c>
      <c r="L6" s="10">
        <f>+G15*75</f>
        <v>1560</v>
      </c>
      <c r="O6">
        <f t="shared" si="2"/>
        <v>0.30000000000000004</v>
      </c>
      <c r="P6">
        <f t="shared" si="3"/>
        <v>0.70000000000000007</v>
      </c>
      <c r="Q6" s="28">
        <f t="shared" si="0"/>
        <v>0.66688218390804599</v>
      </c>
      <c r="R6" s="27">
        <f t="shared" si="1"/>
        <v>2.502704446284965</v>
      </c>
    </row>
    <row r="7" spans="4:22" x14ac:dyDescent="0.25">
      <c r="D7" s="4">
        <v>9</v>
      </c>
      <c r="E7" s="5">
        <v>10</v>
      </c>
      <c r="F7" s="5">
        <v>3.8</v>
      </c>
      <c r="G7" s="6">
        <v>18</v>
      </c>
      <c r="I7" s="11"/>
      <c r="J7" s="14"/>
      <c r="K7" s="14"/>
      <c r="L7" s="10"/>
      <c r="O7">
        <f t="shared" si="2"/>
        <v>0.4</v>
      </c>
      <c r="P7">
        <f t="shared" si="3"/>
        <v>0.60000000000000009</v>
      </c>
      <c r="Q7" s="28">
        <f t="shared" si="0"/>
        <v>0.60445402298850581</v>
      </c>
      <c r="R7" s="27">
        <f t="shared" si="1"/>
        <v>2.4738168276915093</v>
      </c>
    </row>
    <row r="8" spans="4:22" x14ac:dyDescent="0.25">
      <c r="D8" s="4">
        <v>10</v>
      </c>
      <c r="E8" s="5">
        <v>11.5</v>
      </c>
      <c r="F8" s="5">
        <v>7.5</v>
      </c>
      <c r="G8" s="6">
        <v>17.2</v>
      </c>
      <c r="I8" s="11" t="s">
        <v>9</v>
      </c>
      <c r="J8" s="16">
        <f>+(J6-J3+J5)/J3</f>
        <v>0.22988505747126436</v>
      </c>
      <c r="K8" s="16">
        <f>+(K6-K3+K5)/K3</f>
        <v>0.85416666666666663</v>
      </c>
      <c r="L8" s="13">
        <f>+(L6-L3+L5)/L3</f>
        <v>0.3125</v>
      </c>
      <c r="O8">
        <f t="shared" si="2"/>
        <v>0.5</v>
      </c>
      <c r="P8">
        <f t="shared" si="3"/>
        <v>0.50000000000000011</v>
      </c>
      <c r="Q8" s="28">
        <f t="shared" si="0"/>
        <v>0.54202586206896564</v>
      </c>
      <c r="R8" s="27">
        <f t="shared" si="1"/>
        <v>2.4512017769892256</v>
      </c>
    </row>
    <row r="9" spans="4:22" x14ac:dyDescent="0.25">
      <c r="D9" s="4">
        <v>13</v>
      </c>
      <c r="E9" s="5">
        <v>12.3</v>
      </c>
      <c r="F9" s="5">
        <v>8.3000000000000007</v>
      </c>
      <c r="G9" s="6">
        <v>16.7</v>
      </c>
      <c r="O9">
        <f t="shared" si="2"/>
        <v>0.6</v>
      </c>
      <c r="P9">
        <f t="shared" si="3"/>
        <v>0.40000000000000013</v>
      </c>
      <c r="Q9" s="28">
        <f t="shared" si="0"/>
        <v>0.4795977011494254</v>
      </c>
      <c r="R9" s="27">
        <f t="shared" si="1"/>
        <v>2.4350340673368196</v>
      </c>
    </row>
    <row r="10" spans="4:22" x14ac:dyDescent="0.25">
      <c r="D10" s="4">
        <v>14</v>
      </c>
      <c r="E10" s="5">
        <v>12.7</v>
      </c>
      <c r="F10" s="5">
        <v>9.1999999999999993</v>
      </c>
      <c r="G10" s="6">
        <v>16.3</v>
      </c>
      <c r="I10" s="22" t="s">
        <v>11</v>
      </c>
      <c r="J10" s="22"/>
      <c r="O10">
        <f t="shared" si="2"/>
        <v>0.7</v>
      </c>
      <c r="P10">
        <f t="shared" si="3"/>
        <v>0.30000000000000016</v>
      </c>
      <c r="Q10" s="28">
        <f t="shared" si="0"/>
        <v>0.41716954022988517</v>
      </c>
      <c r="R10" s="27">
        <f t="shared" si="1"/>
        <v>2.425442633767485</v>
      </c>
    </row>
    <row r="11" spans="4:22" x14ac:dyDescent="0.25">
      <c r="D11" s="4">
        <v>15</v>
      </c>
      <c r="E11" s="5">
        <v>13</v>
      </c>
      <c r="F11" s="5">
        <v>8.9</v>
      </c>
      <c r="G11" s="6">
        <v>15.6</v>
      </c>
      <c r="I11" s="11" t="s">
        <v>12</v>
      </c>
      <c r="J11" s="21">
        <f>+J4*J8 + K4*K8</f>
        <v>0.22778345250255363</v>
      </c>
      <c r="O11">
        <f t="shared" si="2"/>
        <v>0.79999999999999993</v>
      </c>
      <c r="P11">
        <f t="shared" si="3"/>
        <v>0.20000000000000015</v>
      </c>
      <c r="Q11" s="28">
        <f t="shared" si="0"/>
        <v>0.35474137931034488</v>
      </c>
      <c r="R11" s="27">
        <f t="shared" si="1"/>
        <v>2.4225055899488277</v>
      </c>
    </row>
    <row r="12" spans="4:22" x14ac:dyDescent="0.25">
      <c r="D12" s="4">
        <v>16</v>
      </c>
      <c r="E12" s="5">
        <v>12.4</v>
      </c>
      <c r="F12" s="5">
        <v>8.8000000000000007</v>
      </c>
      <c r="G12" s="6">
        <v>15.8</v>
      </c>
      <c r="I12" s="12"/>
      <c r="J12" s="28"/>
      <c r="O12">
        <f t="shared" si="2"/>
        <v>0.89999999999999991</v>
      </c>
      <c r="P12">
        <f t="shared" si="3"/>
        <v>0.10000000000000014</v>
      </c>
      <c r="Q12" s="31">
        <f t="shared" si="0"/>
        <v>0.29231321839080471</v>
      </c>
      <c r="R12" s="30">
        <f t="shared" si="1"/>
        <v>2.4262471020075393</v>
      </c>
    </row>
    <row r="13" spans="4:22" x14ac:dyDescent="0.25">
      <c r="D13" s="4">
        <v>17</v>
      </c>
      <c r="E13" s="5">
        <v>12.5</v>
      </c>
      <c r="F13" s="5">
        <v>8.6999999999999993</v>
      </c>
      <c r="G13" s="6">
        <v>17.100000000000001</v>
      </c>
      <c r="I13" s="12" t="s">
        <v>15</v>
      </c>
      <c r="J13" s="28">
        <f>_xlfn.COVARIANCE.S(E4:E15,F4:F15)</f>
        <v>5.6036363636363644</v>
      </c>
      <c r="O13">
        <f>+O12+0.1</f>
        <v>0.99999999999999989</v>
      </c>
      <c r="P13" s="28">
        <f t="shared" si="3"/>
        <v>1.3877787807814457E-16</v>
      </c>
      <c r="Q13" s="31">
        <f t="shared" si="0"/>
        <v>0.22988505747126445</v>
      </c>
      <c r="R13" s="30">
        <f t="shared" si="1"/>
        <v>2.4366364049026581</v>
      </c>
    </row>
    <row r="14" spans="4:22" x14ac:dyDescent="0.25">
      <c r="D14" s="4">
        <v>20</v>
      </c>
      <c r="E14" s="5">
        <v>11.5</v>
      </c>
      <c r="F14" s="5">
        <v>8</v>
      </c>
      <c r="G14" s="6">
        <v>18.899999999999999</v>
      </c>
      <c r="I14" s="12" t="s">
        <v>22</v>
      </c>
      <c r="J14" s="28">
        <f>_xlfn.COVARIANCE.S(E4:E15,G4:G15)</f>
        <v>-1.9444696969696975</v>
      </c>
    </row>
    <row r="15" spans="4:22" x14ac:dyDescent="0.25">
      <c r="D15" s="7">
        <v>21</v>
      </c>
      <c r="E15" s="8">
        <v>10.199999999999999</v>
      </c>
      <c r="F15" s="8">
        <v>8.5</v>
      </c>
      <c r="G15" s="9">
        <v>20.8</v>
      </c>
      <c r="I15" s="12" t="s">
        <v>23</v>
      </c>
      <c r="J15" s="28">
        <f>_xlfn.COVARIANCE.S(F4:F15,G4:G15)</f>
        <v>-1.2545454545454544</v>
      </c>
    </row>
    <row r="16" spans="4:22" x14ac:dyDescent="0.25">
      <c r="V16" s="32"/>
    </row>
    <row r="17" spans="4:10" x14ac:dyDescent="0.25">
      <c r="D17" s="12" t="s">
        <v>14</v>
      </c>
      <c r="E17" s="23">
        <f>+MEDIAN(E4:E15)</f>
        <v>11.5</v>
      </c>
      <c r="F17" s="23">
        <f>+MEDIAN(F4:F15)</f>
        <v>8.15</v>
      </c>
      <c r="G17" s="23">
        <f>+MEDIAN(G4:G15)</f>
        <v>17.149999999999999</v>
      </c>
      <c r="I17" s="12" t="s">
        <v>16</v>
      </c>
      <c r="J17" s="28">
        <f>+CORREL(E4:E15,F4:F15)</f>
        <v>0.87618993179433247</v>
      </c>
    </row>
    <row r="18" spans="4:10" x14ac:dyDescent="0.25">
      <c r="D18" s="12" t="s">
        <v>13</v>
      </c>
      <c r="E18" s="28">
        <f>+STDEV(E4:E15)</f>
        <v>2.4366364049026581</v>
      </c>
      <c r="F18" s="28">
        <f>+STDEV(F4:F15)</f>
        <v>2.6247077759420945</v>
      </c>
      <c r="G18" s="28">
        <f>+STDEV(G4:G15)</f>
        <v>1.5791012019692108</v>
      </c>
      <c r="I18" s="12" t="s">
        <v>19</v>
      </c>
      <c r="J18" s="28">
        <f>CORREL(E4:E15,G4:G15)</f>
        <v>-0.50535956112635083</v>
      </c>
    </row>
    <row r="19" spans="4:10" x14ac:dyDescent="0.25">
      <c r="D19" s="12" t="s">
        <v>16</v>
      </c>
      <c r="E19" s="28">
        <f>+CORREL(E4:E15,F4:F15)</f>
        <v>0.87618993179433247</v>
      </c>
      <c r="I19" s="12" t="s">
        <v>20</v>
      </c>
      <c r="J19" s="28">
        <f>CORREL(F4:F15,G4:G15)</f>
        <v>-0.30268819198185171</v>
      </c>
    </row>
    <row r="21" spans="4:10" ht="15.75" customHeight="1" x14ac:dyDescent="0.25">
      <c r="D21" s="24" t="s">
        <v>24</v>
      </c>
      <c r="F21" s="25"/>
      <c r="G21" s="25"/>
      <c r="I21" s="12" t="s">
        <v>21</v>
      </c>
    </row>
    <row r="22" spans="4:10" x14ac:dyDescent="0.25">
      <c r="E22">
        <v>2.42</v>
      </c>
      <c r="F22" s="25"/>
      <c r="G22" s="25"/>
      <c r="J22">
        <v>1.27</v>
      </c>
    </row>
    <row r="23" spans="4:10" ht="15.75" customHeight="1" x14ac:dyDescent="0.25">
      <c r="D23" s="26" t="s">
        <v>17</v>
      </c>
      <c r="E23" s="26"/>
      <c r="F23" s="26"/>
      <c r="G23" s="26"/>
    </row>
    <row r="24" spans="4:10" x14ac:dyDescent="0.25">
      <c r="D24" s="26"/>
      <c r="E24" s="26"/>
      <c r="F24" s="26"/>
      <c r="G24" s="26"/>
    </row>
    <row r="25" spans="4:10" x14ac:dyDescent="0.25">
      <c r="D25" s="26"/>
      <c r="E25" s="26"/>
      <c r="F25" s="26"/>
      <c r="G25" s="26"/>
    </row>
  </sheetData>
  <mergeCells count="2">
    <mergeCell ref="I10:J10"/>
    <mergeCell ref="D23:G25"/>
  </mergeCells>
  <phoneticPr fontId="3" type="noConversion"/>
  <pageMargins left="0.75" right="0.75" top="1" bottom="1" header="0" footer="0"/>
  <pageSetup paperSize="9" orientation="portrait" horizontalDpi="4294967295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Romacho</dc:creator>
  <cp:lastModifiedBy>Anilson Monteiro</cp:lastModifiedBy>
  <dcterms:created xsi:type="dcterms:W3CDTF">2009-05-09T11:24:01Z</dcterms:created>
  <dcterms:modified xsi:type="dcterms:W3CDTF">2025-11-21T21:16:00Z</dcterms:modified>
</cp:coreProperties>
</file>